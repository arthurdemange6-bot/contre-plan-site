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atif" sheetId="1" state="visible" r:id="rId3"/>
    <sheet name="Exemple fictif" sheetId="2" state="visible" r:id="rId4"/>
    <sheet name="Mode d'emploi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<sst xmlns="http://schemas.openxmlformats.org/spreadsheetml/2006/main" count="110" uniqueCount="61">
  <si>
    <t xml:space="preserve">Contre-Plan · Tableau comparatif de devis</t>
  </si>
  <si>
    <t xml:space="preserve">Remplissez les cases jaunes. Les totaux, la TVA, l'acompte et les écarts se calculent seuls.</t>
  </si>
  <si>
    <t xml:space="preserve">Une case de montant vide sur un poste = un poste absent du devis, à faire chiffrer (elle apparaît en orange).</t>
  </si>
  <si>
    <t xml:space="preserve">Élément</t>
  </si>
  <si>
    <t xml:space="preserve">Artisan 1</t>
  </si>
  <si>
    <t xml:space="preserve">Artisan 2</t>
  </si>
  <si>
    <t xml:space="preserve">Artisan 3</t>
  </si>
  <si>
    <t xml:space="preserve">Remarques</t>
  </si>
  <si>
    <t xml:space="preserve">Nom de l'entreprise</t>
  </si>
  <si>
    <t xml:space="preserve">Date du devis</t>
  </si>
  <si>
    <t xml:space="preserve">Validité du devis</t>
  </si>
  <si>
    <t xml:space="preserve">SIRET et immatriculation vérifiés (annuaire-entreprises.data.gouv.fr)</t>
  </si>
  <si>
    <t xml:space="preserve">Attestation d'assurance décennale reçue</t>
  </si>
  <si>
    <t xml:space="preserve">Qualification RGE (si vous visez des aides)</t>
  </si>
  <si>
    <t xml:space="preserve">Postes : montants HT en €  (mettez les postes comparables sur la même ligne)</t>
  </si>
  <si>
    <t xml:space="preserve">Total HT</t>
  </si>
  <si>
    <t xml:space="preserve">Taux de TVA appliqué</t>
  </si>
  <si>
    <t xml:space="preserve">TVA</t>
  </si>
  <si>
    <t xml:space="preserve">Total TTC</t>
  </si>
  <si>
    <t xml:space="preserve">Écart avec le devis le moins cher (TTC)</t>
  </si>
  <si>
    <t xml:space="preserve">Nombre de postes non chiffrés</t>
  </si>
  <si>
    <t xml:space="preserve">Conditions</t>
  </si>
  <si>
    <t xml:space="preserve">Acompte demandé à la signature (%)</t>
  </si>
  <si>
    <t xml:space="preserve">Acompte en €</t>
  </si>
  <si>
    <t xml:space="preserve">Paiements liés à l'avancement des travaux</t>
  </si>
  <si>
    <t xml:space="preserve">Date de début des travaux</t>
  </si>
  <si>
    <t xml:space="preserve">Délai d'exécution ferme indiqué</t>
  </si>
  <si>
    <t xml:space="preserve">Gestion des déchets chiffrée</t>
  </si>
  <si>
    <t xml:space="preserve">Marques et références des matériaux indiquées</t>
  </si>
  <si>
    <t xml:space="preserve">Points à faire préciser par écrit</t>
  </si>
  <si>
    <t xml:space="preserve">Repères : l'usage est d'environ 30 % d'acompte à la signature. Le taux de TVA dépend des travaux et de l'âge du logement (5,5 %, 10 % ou 20 %).</t>
  </si>
  <si>
    <t xml:space="preserve">Un avis d'ingénieur BTP sur vos devis : contre-plan.com (option « Comparatif multi devis »).</t>
  </si>
  <si>
    <t xml:space="preserve">Remplissez les cases jaunes. Les totaux, la TVA, l'acompte et les écarts se calculent seuls.  (Feuille d'exemple fictif)</t>
  </si>
  <si>
    <t xml:space="preserve">Entreprise A</t>
  </si>
  <si>
    <t xml:space="preserve">Entreprise B</t>
  </si>
  <si>
    <t xml:space="preserve">Entreprise C</t>
  </si>
  <si>
    <t xml:space="preserve">3 mois</t>
  </si>
  <si>
    <t xml:space="preserve">1 mois</t>
  </si>
  <si>
    <t xml:space="preserve">2 mois</t>
  </si>
  <si>
    <t xml:space="preserve">Oui</t>
  </si>
  <si>
    <t xml:space="preserve">Non</t>
  </si>
  <si>
    <t xml:space="preserve">Sans objet</t>
  </si>
  <si>
    <t xml:space="preserve">Dépose carrelage et sanitaires</t>
  </si>
  <si>
    <t xml:space="preserve">Évacuation des gravats</t>
  </si>
  <si>
    <t xml:space="preserve">Étanchéité sous carrelage</t>
  </si>
  <si>
    <t xml:space="preserve">Receveur et paroi de douche</t>
  </si>
  <si>
    <t xml:space="preserve">Faïence et carrelage (fourniture et pose)</t>
  </si>
  <si>
    <t xml:space="preserve">Plomberie</t>
  </si>
  <si>
    <t xml:space="preserve">Électricité et ventilation</t>
  </si>
  <si>
    <t xml:space="preserve">À demander</t>
  </si>
  <si>
    <t xml:space="preserve">Chiffrer les gravats, acompte 30 %</t>
  </si>
  <si>
    <t xml:space="preserve">Chiffrer l'étanchéité, attestation décennale</t>
  </si>
  <si>
    <t xml:space="preserve">Rien d'essentiel</t>
  </si>
  <si>
    <t xml:space="preserve">Mode d'emploi du tableau comparatif Contre-Plan</t>
  </si>
  <si>
    <t xml:space="preserve">1. Inscrivez une ligne par poste, en regroupant les postes comparables (même travail, même surface).</t>
  </si>
  <si>
    <t xml:space="preserve">2. Reportez pour chaque artisan le montant HT du poste. Laissez vide si le poste n'apparaît pas sur son devis.</t>
  </si>
  <si>
    <t xml:space="preserve">3. Une case orange = un poste chiffré chez un artisan mais absent chez un autre : demandez-lui de le chiffrer avant de comparer.</t>
  </si>
  <si>
    <t xml:space="preserve">4. Renseignez le taux de TVA et l'acompte : les totaux TTC, l'acompte en € et l'écart avec le moins cher se calculent seuls.</t>
  </si>
  <si>
    <t xml:space="preserve">5. Un « Non » s'affiche en rouge : c'est un point à faire préciser par écrit.</t>
  </si>
  <si>
    <t xml:space="preserve">Le devis le moins cher n'est pas forcément le meilleur : comparez ce qui est inclus, les garanties et les conditions.</t>
  </si>
  <si>
    <t xml:space="preserve">Voir la feuille « Exemple fictif » pour un tableau rempli. Besoin d'un avis d'ingénieur ? contre-plan.com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</si>
</sst>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#,##0.00&quot; €&quot;;\-#,##0.00&quot; €&quot;;&quot;&quot;"/>
    <numFmt numFmtId="167" formatCode="0.0\ %"/>
    <numFmt numFmtId="168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4284B"/>
      <name val="Arial"/>
      <family val="0"/>
      <charset val="1"/>
    </font>
    <font>
      <i val="true"/>
      <sz val="9"/>
      <color rgb="FF5B678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4284B"/>
      <name val="Arial"/>
      <family val="0"/>
      <charset val="1"/>
    </font>
    <font>
      <sz val="11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14284B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C44C19"/>
      <name val="Arial"/>
      <family val="0"/>
      <charset val="1"/>
    </font>
    <font>
      <b val="true"/>
      <sz val="13"/>
      <color rgb="FF14284B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84B"/>
        <bgColor rgb="FF333333"/>
      </patternFill>
    </fill>
    <fill>
      <patternFill patternType="solid">
        <fgColor rgb="FFFFF6D6"/>
        <bgColor rgb="FFF3F0E8"/>
      </patternFill>
    </fill>
    <fill>
      <patternFill patternType="solid">
        <fgColor rgb="FFF3F0E8"/>
        <bgColor rgb="FFFBEB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8CA"/>
      </left>
      <right style="thin">
        <color rgb="FFDDD8CA"/>
      </right>
      <top style="thin">
        <color rgb="FFDDD8CA"/>
      </top>
      <bottom style="thin">
        <color rgb="FFDDD8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1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9DCCB"/>
        </patternFill>
      </fill>
    </dxf>
    <dxf>
      <font>
        <name val="Arial"/>
        <charset val="1"/>
        <family val="0"/>
        <b val="1"/>
        <color rgb="FFB3261E"/>
      </font>
      <fill>
        <patternFill>
          <bgColor rgb="FFFBEBE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6D6"/>
      <rgbColor rgb="FFF3F0E8"/>
      <rgbColor rgb="FF660066"/>
      <rgbColor rgb="FFFF8080"/>
      <rgbColor rgb="FF0066CC"/>
      <rgbColor rgb="FFDDD8C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EBEB"/>
      <rgbColor rgb="FFCCFFCC"/>
      <rgbColor rgb="FFFFFF99"/>
      <rgbColor rgb="FF99CCFF"/>
      <rgbColor rgb="FFFF99CC"/>
      <rgbColor rgb="FFCC99FF"/>
      <rgbColor rgb="FFF9DCCB"/>
      <rgbColor rgb="FF3366FF"/>
      <rgbColor rgb="FF33CCCC"/>
      <rgbColor rgb="FF99CC00"/>
      <rgbColor rgb="FFFFCC00"/>
      <rgbColor rgb="FFFF9900"/>
      <rgbColor rgb="FFC44C19"/>
      <rgbColor rgb="FF5B6784"/>
      <rgbColor rgb="FF969696"/>
      <rgbColor rgb="FF14284B"/>
      <rgbColor rgb="FF339966"/>
      <rgbColor rgb="FF003300"/>
      <rgbColor rgb="FF333300"/>
      <rgbColor rgb="FFB326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contre-plan.com/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contre-plan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0"/>
    <col collapsed="false" customWidth="true" hidden="false" outlineLevel="0" max="5" min="5" style="0" width="3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/>
      <c r="C6" s="6"/>
      <c r="D6" s="6"/>
      <c r="E6" s="7"/>
    </row>
    <row r="7" customFormat="false" ht="15" hidden="false" customHeight="false" outlineLevel="0" collapsed="false">
      <c r="A7" s="5" t="s">
        <v>9</v>
      </c>
      <c r="B7" s="8"/>
      <c r="C7" s="8"/>
      <c r="D7" s="8"/>
      <c r="E7" s="7"/>
    </row>
    <row r="8" customFormat="false" ht="15" hidden="false" customHeight="false" outlineLevel="0" collapsed="false">
      <c r="A8" s="5" t="s">
        <v>10</v>
      </c>
      <c r="B8" s="6"/>
      <c r="C8" s="6"/>
      <c r="D8" s="6"/>
      <c r="E8" s="7"/>
    </row>
    <row r="9" customFormat="false" ht="26.85" hidden="false" customHeight="false" outlineLevel="0" collapsed="false">
      <c r="A9" s="5" t="s">
        <v>11</v>
      </c>
      <c r="B9" s="6"/>
      <c r="C9" s="6"/>
      <c r="D9" s="6"/>
      <c r="E9" s="7"/>
    </row>
    <row r="10" customFormat="false" ht="15" hidden="false" customHeight="false" outlineLevel="0" collapsed="false">
      <c r="A10" s="5" t="s">
        <v>12</v>
      </c>
      <c r="B10" s="6"/>
      <c r="C10" s="6"/>
      <c r="D10" s="6"/>
      <c r="E10" s="7"/>
    </row>
    <row r="11" customFormat="false" ht="15" hidden="false" customHeight="false" outlineLevel="0" collapsed="false">
      <c r="A11" s="5" t="s">
        <v>13</v>
      </c>
      <c r="B11" s="6"/>
      <c r="C11" s="6"/>
      <c r="D11" s="6"/>
      <c r="E11" s="7"/>
    </row>
    <row r="13" customFormat="false" ht="15" hidden="false" customHeight="false" outlineLevel="0" collapsed="false">
      <c r="A13" s="3" t="s">
        <v>14</v>
      </c>
      <c r="B13" s="9"/>
      <c r="C13" s="9"/>
      <c r="D13" s="9"/>
      <c r="E13" s="9"/>
    </row>
    <row r="14" customFormat="false" ht="15" hidden="false" customHeight="false" outlineLevel="0" collapsed="false">
      <c r="A14" s="10"/>
      <c r="B14" s="11"/>
      <c r="C14" s="11"/>
      <c r="D14" s="11"/>
      <c r="E14" s="7"/>
    </row>
    <row r="15" customFormat="false" ht="15" hidden="false" customHeight="false" outlineLevel="0" collapsed="false">
      <c r="A15" s="10"/>
      <c r="B15" s="11"/>
      <c r="C15" s="11"/>
      <c r="D15" s="11"/>
      <c r="E15" s="7"/>
    </row>
    <row r="16" customFormat="false" ht="15" hidden="false" customHeight="false" outlineLevel="0" collapsed="false">
      <c r="A16" s="10"/>
      <c r="B16" s="11"/>
      <c r="C16" s="11"/>
      <c r="D16" s="11"/>
      <c r="E16" s="7"/>
    </row>
    <row r="17" customFormat="false" ht="15" hidden="false" customHeight="false" outlineLevel="0" collapsed="false">
      <c r="A17" s="10"/>
      <c r="B17" s="11"/>
      <c r="C17" s="11"/>
      <c r="D17" s="11"/>
      <c r="E17" s="7"/>
    </row>
    <row r="18" customFormat="false" ht="15" hidden="false" customHeight="false" outlineLevel="0" collapsed="false">
      <c r="A18" s="10"/>
      <c r="B18" s="11"/>
      <c r="C18" s="11"/>
      <c r="D18" s="11"/>
      <c r="E18" s="7"/>
    </row>
    <row r="19" customFormat="false" ht="15" hidden="false" customHeight="false" outlineLevel="0" collapsed="false">
      <c r="A19" s="10"/>
      <c r="B19" s="11"/>
      <c r="C19" s="11"/>
      <c r="D19" s="11"/>
      <c r="E19" s="7"/>
    </row>
    <row r="20" customFormat="false" ht="15" hidden="false" customHeight="false" outlineLevel="0" collapsed="false">
      <c r="A20" s="10"/>
      <c r="B20" s="11"/>
      <c r="C20" s="11"/>
      <c r="D20" s="11"/>
      <c r="E20" s="7"/>
    </row>
    <row r="21" customFormat="false" ht="15" hidden="false" customHeight="false" outlineLevel="0" collapsed="false">
      <c r="A21" s="10"/>
      <c r="B21" s="11"/>
      <c r="C21" s="11"/>
      <c r="D21" s="11"/>
      <c r="E21" s="7"/>
    </row>
    <row r="22" customFormat="false" ht="15" hidden="false" customHeight="false" outlineLevel="0" collapsed="false">
      <c r="A22" s="10"/>
      <c r="B22" s="11"/>
      <c r="C22" s="11"/>
      <c r="D22" s="11"/>
      <c r="E22" s="7"/>
    </row>
    <row r="23" customFormat="false" ht="15" hidden="false" customHeight="false" outlineLevel="0" collapsed="false">
      <c r="A23" s="10"/>
      <c r="B23" s="11"/>
      <c r="C23" s="11"/>
      <c r="D23" s="11"/>
      <c r="E23" s="7"/>
    </row>
    <row r="24" customFormat="false" ht="15" hidden="false" customHeight="false" outlineLevel="0" collapsed="false">
      <c r="A24" s="10"/>
      <c r="B24" s="11"/>
      <c r="C24" s="11"/>
      <c r="D24" s="11"/>
      <c r="E24" s="7"/>
    </row>
    <row r="25" customFormat="false" ht="15" hidden="false" customHeight="false" outlineLevel="0" collapsed="false">
      <c r="A25" s="10"/>
      <c r="B25" s="11"/>
      <c r="C25" s="11"/>
      <c r="D25" s="11"/>
      <c r="E25" s="7"/>
    </row>
    <row r="26" customFormat="false" ht="15" hidden="false" customHeight="false" outlineLevel="0" collapsed="false">
      <c r="A26" s="10"/>
      <c r="B26" s="11"/>
      <c r="C26" s="11"/>
      <c r="D26" s="11"/>
      <c r="E26" s="7"/>
    </row>
    <row r="27" customFormat="false" ht="15" hidden="false" customHeight="false" outlineLevel="0" collapsed="false">
      <c r="A27" s="10"/>
      <c r="B27" s="11"/>
      <c r="C27" s="11"/>
      <c r="D27" s="11"/>
      <c r="E27" s="7"/>
    </row>
    <row r="28" customFormat="false" ht="15" hidden="false" customHeight="false" outlineLevel="0" collapsed="false">
      <c r="A28" s="10"/>
      <c r="B28" s="11"/>
      <c r="C28" s="11"/>
      <c r="D28" s="11"/>
      <c r="E28" s="7"/>
    </row>
    <row r="29" customFormat="false" ht="15" hidden="false" customHeight="false" outlineLevel="0" collapsed="false">
      <c r="A29" s="12" t="s">
        <v>15</v>
      </c>
      <c r="B29" s="13" t="n">
        <f aca="false">SUM(B14:B28)</f>
        <v>0</v>
      </c>
      <c r="C29" s="13" t="n">
        <f aca="false">SUM(C14:C28)</f>
        <v>0</v>
      </c>
      <c r="D29" s="13" t="n">
        <f aca="false">SUM(D14:D28)</f>
        <v>0</v>
      </c>
      <c r="E29" s="7"/>
    </row>
    <row r="30" customFormat="false" ht="15" hidden="false" customHeight="false" outlineLevel="0" collapsed="false">
      <c r="A30" s="5" t="s">
        <v>16</v>
      </c>
      <c r="B30" s="14"/>
      <c r="C30" s="14"/>
      <c r="D30" s="14"/>
      <c r="E30" s="7"/>
    </row>
    <row r="31" customFormat="false" ht="15" hidden="false" customHeight="false" outlineLevel="0" collapsed="false">
      <c r="A31" s="5" t="s">
        <v>17</v>
      </c>
      <c r="B31" s="15" t="n">
        <f aca="false">B29*B30</f>
        <v>0</v>
      </c>
      <c r="C31" s="15" t="n">
        <f aca="false">C29*C30</f>
        <v>0</v>
      </c>
      <c r="D31" s="15" t="n">
        <f aca="false">D29*D30</f>
        <v>0</v>
      </c>
      <c r="E31" s="7"/>
    </row>
    <row r="32" customFormat="false" ht="15" hidden="false" customHeight="false" outlineLevel="0" collapsed="false">
      <c r="A32" s="12" t="s">
        <v>18</v>
      </c>
      <c r="B32" s="13" t="n">
        <f aca="false">B29+B31</f>
        <v>0</v>
      </c>
      <c r="C32" s="13" t="n">
        <f aca="false">C29+C31</f>
        <v>0</v>
      </c>
      <c r="D32" s="13" t="n">
        <f aca="false">D29+D31</f>
        <v>0</v>
      </c>
      <c r="E32" s="7"/>
    </row>
    <row r="33" customFormat="false" ht="15" hidden="false" customHeight="false" outlineLevel="0" collapsed="false">
      <c r="A33" s="5" t="s">
        <v>19</v>
      </c>
      <c r="B33" s="15" t="str">
        <f aca="false">IF(B29=0,"",B32-_xlfn.MINIFS($B$32:$D$32,$B$29:$D$29,"&gt;0"))</f>
        <v/>
      </c>
      <c r="C33" s="15" t="str">
        <f aca="false">IF(C29=0,"",C32-_xlfn.MINIFS($B$32:$D$32,$B$29:$D$29,"&gt;0"))</f>
        <v/>
      </c>
      <c r="D33" s="15" t="str">
        <f aca="false">IF(D29=0,"",D32-_xlfn.MINIFS($B$32:$D$32,$B$29:$D$29,"&gt;0"))</f>
        <v/>
      </c>
      <c r="E33" s="7"/>
    </row>
    <row r="34" customFormat="false" ht="15" hidden="false" customHeight="false" outlineLevel="0" collapsed="false">
      <c r="A34" s="5" t="s">
        <v>20</v>
      </c>
      <c r="B34" s="16" t="n">
        <f aca="false">SUMPRODUCT(($A$14:$A$28&lt;&gt;"")*(B14:B28=""))</f>
        <v>0</v>
      </c>
      <c r="C34" s="16" t="n">
        <f aca="false">SUMPRODUCT(($A$14:$A$28&lt;&gt;"")*(C14:C28=""))</f>
        <v>0</v>
      </c>
      <c r="D34" s="16" t="n">
        <f aca="false">SUMPRODUCT(($A$14:$A$28&lt;&gt;"")*(D14:D28=""))</f>
        <v>0</v>
      </c>
      <c r="E34" s="7"/>
    </row>
    <row r="36" customFormat="false" ht="15" hidden="false" customHeight="false" outlineLevel="0" collapsed="false">
      <c r="A36" s="3" t="s">
        <v>21</v>
      </c>
      <c r="B36" s="9"/>
      <c r="C36" s="9"/>
      <c r="D36" s="9"/>
      <c r="E36" s="9"/>
    </row>
    <row r="37" customFormat="false" ht="15" hidden="false" customHeight="false" outlineLevel="0" collapsed="false">
      <c r="A37" s="5" t="s">
        <v>22</v>
      </c>
      <c r="B37" s="14"/>
      <c r="C37" s="14"/>
      <c r="D37" s="14"/>
      <c r="E37" s="7"/>
    </row>
    <row r="38" customFormat="false" ht="15" hidden="false" customHeight="false" outlineLevel="0" collapsed="false">
      <c r="A38" s="5" t="s">
        <v>23</v>
      </c>
      <c r="B38" s="15" t="n">
        <f aca="false">B32*B37</f>
        <v>0</v>
      </c>
      <c r="C38" s="15" t="n">
        <f aca="false">C32*C37</f>
        <v>0</v>
      </c>
      <c r="D38" s="15" t="n">
        <f aca="false">D32*D37</f>
        <v>0</v>
      </c>
      <c r="E38" s="7"/>
    </row>
    <row r="39" customFormat="false" ht="15" hidden="false" customHeight="false" outlineLevel="0" collapsed="false">
      <c r="A39" s="5" t="s">
        <v>24</v>
      </c>
      <c r="B39" s="6"/>
      <c r="C39" s="6"/>
      <c r="D39" s="6"/>
      <c r="E39" s="7"/>
    </row>
    <row r="40" customFormat="false" ht="15" hidden="false" customHeight="false" outlineLevel="0" collapsed="false">
      <c r="A40" s="5" t="s">
        <v>25</v>
      </c>
      <c r="B40" s="8"/>
      <c r="C40" s="8"/>
      <c r="D40" s="8"/>
      <c r="E40" s="7"/>
    </row>
    <row r="41" customFormat="false" ht="15" hidden="false" customHeight="false" outlineLevel="0" collapsed="false">
      <c r="A41" s="5" t="s">
        <v>26</v>
      </c>
      <c r="B41" s="6"/>
      <c r="C41" s="6"/>
      <c r="D41" s="6"/>
      <c r="E41" s="7"/>
    </row>
    <row r="42" customFormat="false" ht="15" hidden="false" customHeight="false" outlineLevel="0" collapsed="false">
      <c r="A42" s="5" t="s">
        <v>27</v>
      </c>
      <c r="B42" s="6"/>
      <c r="C42" s="6"/>
      <c r="D42" s="6"/>
      <c r="E42" s="7"/>
    </row>
    <row r="43" customFormat="false" ht="26.85" hidden="false" customHeight="false" outlineLevel="0" collapsed="false">
      <c r="A43" s="5" t="s">
        <v>28</v>
      </c>
      <c r="B43" s="6"/>
      <c r="C43" s="6"/>
      <c r="D43" s="6"/>
      <c r="E43" s="7"/>
    </row>
    <row r="45" customFormat="false" ht="15" hidden="false" customHeight="false" outlineLevel="0" collapsed="false">
      <c r="A45" s="3" t="s">
        <v>29</v>
      </c>
      <c r="B45" s="9"/>
      <c r="C45" s="9"/>
      <c r="D45" s="9"/>
      <c r="E45" s="9"/>
    </row>
    <row r="46" customFormat="false" ht="15" hidden="false" customHeight="false" outlineLevel="0" collapsed="false">
      <c r="A46" s="17"/>
      <c r="B46" s="18"/>
      <c r="C46" s="18"/>
      <c r="D46" s="18"/>
      <c r="E46" s="7"/>
    </row>
    <row r="47" customFormat="false" ht="15" hidden="false" customHeight="false" outlineLevel="0" collapsed="false">
      <c r="A47" s="17"/>
      <c r="B47" s="18"/>
      <c r="C47" s="18"/>
      <c r="D47" s="18"/>
      <c r="E47" s="7"/>
    </row>
    <row r="48" customFormat="false" ht="15" hidden="false" customHeight="false" outlineLevel="0" collapsed="false">
      <c r="A48" s="17"/>
      <c r="B48" s="18"/>
      <c r="C48" s="18"/>
      <c r="D48" s="18"/>
      <c r="E48" s="7"/>
    </row>
    <row r="50" customFormat="false" ht="15" hidden="false" customHeight="false" outlineLevel="0" collapsed="false">
      <c r="A50" s="2" t="s">
        <v>30</v>
      </c>
    </row>
    <row r="51" customFormat="false" ht="15" hidden="false" customHeight="false" outlineLevel="0" collapsed="false">
      <c r="A51" s="19" t="s">
        <v>31</v>
      </c>
    </row>
  </sheetData>
  <conditionalFormatting sqref="B14:D28">
    <cfRule type="expression" priority="2" aboveAverage="0" equalAverage="0" bottom="0" percent="0" rank="0" text="" dxfId="0">
      <formula>AND($A14&lt;&gt;"",B14="")</formula>
    </cfRule>
  </conditionalFormatting>
  <conditionalFormatting sqref="B6:D43">
    <cfRule type="cellIs" priority="3" operator="equal" aboveAverage="0" equalAverage="0" bottom="0" percent="0" rank="0" text="" dxfId="1">
      <formula>"Non"</formula>
    </cfRule>
  </conditionalFormatting>
  <conditionalFormatting sqref="B37:D37">
    <cfRule type="cellIs" priority="4" operator="greaterThan" aboveAverage="0" equalAverage="0" bottom="0" percent="0" rank="0" text="" dxfId="0">
      <formula>0.3</formula>
    </cfRule>
  </conditionalFormatting>
  <dataValidations count="1">
    <dataValidation allowBlank="true" errorStyle="stop" operator="between" showDropDown="false" showErrorMessage="false" showInputMessage="false" sqref="B9:D11 B39:D39 B41:D43" type="list">
      <formula1>"Oui,Non,Sans objet"</formula1>
      <formula2>0</formula2>
    </dataValidation>
  </dataValidations>
  <hyperlinks>
    <hyperlink ref="A51" r:id="rId1" display="Un avis d'ingénieur BTP sur vos devis : contre-plan.com (option « Comparatif multi devis »)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4" min="2" style="0" width="20"/>
    <col collapsed="false" customWidth="true" hidden="false" outlineLevel="0" max="5" min="5" style="0" width="38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32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6" t="s">
        <v>33</v>
      </c>
      <c r="C6" s="6" t="s">
        <v>34</v>
      </c>
      <c r="D6" s="6" t="s">
        <v>35</v>
      </c>
      <c r="E6" s="7"/>
    </row>
    <row r="7" customFormat="false" ht="15" hidden="false" customHeight="false" outlineLevel="0" collapsed="false">
      <c r="A7" s="5" t="s">
        <v>9</v>
      </c>
      <c r="B7" s="8"/>
      <c r="C7" s="8"/>
      <c r="D7" s="8"/>
      <c r="E7" s="7"/>
    </row>
    <row r="8" customFormat="false" ht="15" hidden="false" customHeight="false" outlineLevel="0" collapsed="false">
      <c r="A8" s="5" t="s">
        <v>10</v>
      </c>
      <c r="B8" s="6" t="s">
        <v>36</v>
      </c>
      <c r="C8" s="6" t="s">
        <v>37</v>
      </c>
      <c r="D8" s="6" t="s">
        <v>38</v>
      </c>
      <c r="E8" s="7"/>
    </row>
    <row r="9" customFormat="false" ht="26.85" hidden="false" customHeight="false" outlineLevel="0" collapsed="false">
      <c r="A9" s="5" t="s">
        <v>11</v>
      </c>
      <c r="B9" s="6" t="s">
        <v>39</v>
      </c>
      <c r="C9" s="6" t="s">
        <v>39</v>
      </c>
      <c r="D9" s="6" t="s">
        <v>39</v>
      </c>
      <c r="E9" s="7"/>
    </row>
    <row r="10" customFormat="false" ht="15" hidden="false" customHeight="false" outlineLevel="0" collapsed="false">
      <c r="A10" s="5" t="s">
        <v>12</v>
      </c>
      <c r="B10" s="6" t="s">
        <v>39</v>
      </c>
      <c r="C10" s="6" t="s">
        <v>40</v>
      </c>
      <c r="D10" s="6" t="s">
        <v>39</v>
      </c>
      <c r="E10" s="7"/>
    </row>
    <row r="11" customFormat="false" ht="15" hidden="false" customHeight="false" outlineLevel="0" collapsed="false">
      <c r="A11" s="5" t="s">
        <v>13</v>
      </c>
      <c r="B11" s="6" t="s">
        <v>41</v>
      </c>
      <c r="C11" s="6" t="s">
        <v>41</v>
      </c>
      <c r="D11" s="6" t="s">
        <v>41</v>
      </c>
      <c r="E11" s="7"/>
    </row>
    <row r="13" customFormat="false" ht="15" hidden="false" customHeight="false" outlineLevel="0" collapsed="false">
      <c r="A13" s="3" t="s">
        <v>14</v>
      </c>
      <c r="B13" s="9"/>
      <c r="C13" s="9"/>
      <c r="D13" s="9"/>
      <c r="E13" s="9"/>
    </row>
    <row r="14" customFormat="false" ht="15" hidden="false" customHeight="false" outlineLevel="0" collapsed="false">
      <c r="A14" s="10" t="s">
        <v>42</v>
      </c>
      <c r="B14" s="11" t="n">
        <v>1700</v>
      </c>
      <c r="C14" s="11" t="n">
        <v>1250</v>
      </c>
      <c r="D14" s="11" t="n">
        <v>1400</v>
      </c>
      <c r="E14" s="7"/>
    </row>
    <row r="15" customFormat="false" ht="15" hidden="false" customHeight="false" outlineLevel="0" collapsed="false">
      <c r="A15" s="10" t="s">
        <v>43</v>
      </c>
      <c r="B15" s="11"/>
      <c r="C15" s="11" t="n">
        <v>320</v>
      </c>
      <c r="D15" s="11" t="n">
        <v>280</v>
      </c>
      <c r="E15" s="7"/>
    </row>
    <row r="16" customFormat="false" ht="15" hidden="false" customHeight="false" outlineLevel="0" collapsed="false">
      <c r="A16" s="10" t="s">
        <v>44</v>
      </c>
      <c r="B16" s="11" t="n">
        <v>540</v>
      </c>
      <c r="C16" s="11"/>
      <c r="D16" s="11" t="n">
        <v>610</v>
      </c>
      <c r="E16" s="7"/>
    </row>
    <row r="17" customFormat="false" ht="15" hidden="false" customHeight="false" outlineLevel="0" collapsed="false">
      <c r="A17" s="10" t="s">
        <v>45</v>
      </c>
      <c r="B17" s="11" t="n">
        <v>1150</v>
      </c>
      <c r="C17" s="11" t="n">
        <v>980</v>
      </c>
      <c r="D17" s="11" t="n">
        <v>1240</v>
      </c>
      <c r="E17" s="7"/>
    </row>
    <row r="18" customFormat="false" ht="15" hidden="false" customHeight="false" outlineLevel="0" collapsed="false">
      <c r="A18" s="10" t="s">
        <v>46</v>
      </c>
      <c r="B18" s="11" t="n">
        <v>1860</v>
      </c>
      <c r="C18" s="11" t="n">
        <v>1720</v>
      </c>
      <c r="D18" s="11" t="n">
        <v>1950</v>
      </c>
      <c r="E18" s="7"/>
    </row>
    <row r="19" customFormat="false" ht="15" hidden="false" customHeight="false" outlineLevel="0" collapsed="false">
      <c r="A19" s="10" t="s">
        <v>47</v>
      </c>
      <c r="B19" s="11" t="n">
        <v>1150</v>
      </c>
      <c r="C19" s="11" t="n">
        <v>900</v>
      </c>
      <c r="D19" s="11" t="n">
        <v>1300</v>
      </c>
      <c r="E19" s="7"/>
    </row>
    <row r="20" customFormat="false" ht="15" hidden="false" customHeight="false" outlineLevel="0" collapsed="false">
      <c r="A20" s="10" t="s">
        <v>48</v>
      </c>
      <c r="B20" s="11" t="n">
        <v>480</v>
      </c>
      <c r="C20" s="11" t="n">
        <v>520</v>
      </c>
      <c r="D20" s="11" t="n">
        <v>450</v>
      </c>
      <c r="E20" s="7"/>
    </row>
    <row r="21" customFormat="false" ht="15" hidden="false" customHeight="false" outlineLevel="0" collapsed="false">
      <c r="A21" s="10"/>
      <c r="B21" s="11"/>
      <c r="C21" s="11"/>
      <c r="D21" s="11"/>
      <c r="E21" s="7"/>
    </row>
    <row r="22" customFormat="false" ht="15" hidden="false" customHeight="false" outlineLevel="0" collapsed="false">
      <c r="A22" s="10"/>
      <c r="B22" s="11"/>
      <c r="C22" s="11"/>
      <c r="D22" s="11"/>
      <c r="E22" s="7"/>
    </row>
    <row r="23" customFormat="false" ht="15" hidden="false" customHeight="false" outlineLevel="0" collapsed="false">
      <c r="A23" s="10"/>
      <c r="B23" s="11"/>
      <c r="C23" s="11"/>
      <c r="D23" s="11"/>
      <c r="E23" s="7"/>
    </row>
    <row r="24" customFormat="false" ht="15" hidden="false" customHeight="false" outlineLevel="0" collapsed="false">
      <c r="A24" s="10"/>
      <c r="B24" s="11"/>
      <c r="C24" s="11"/>
      <c r="D24" s="11"/>
      <c r="E24" s="7"/>
    </row>
    <row r="25" customFormat="false" ht="15" hidden="false" customHeight="false" outlineLevel="0" collapsed="false">
      <c r="A25" s="10"/>
      <c r="B25" s="11"/>
      <c r="C25" s="11"/>
      <c r="D25" s="11"/>
      <c r="E25" s="7"/>
    </row>
    <row r="26" customFormat="false" ht="15" hidden="false" customHeight="false" outlineLevel="0" collapsed="false">
      <c r="A26" s="10"/>
      <c r="B26" s="11"/>
      <c r="C26" s="11"/>
      <c r="D26" s="11"/>
      <c r="E26" s="7"/>
    </row>
    <row r="27" customFormat="false" ht="15" hidden="false" customHeight="false" outlineLevel="0" collapsed="false">
      <c r="A27" s="10"/>
      <c r="B27" s="11"/>
      <c r="C27" s="11"/>
      <c r="D27" s="11"/>
      <c r="E27" s="7"/>
    </row>
    <row r="28" customFormat="false" ht="15" hidden="false" customHeight="false" outlineLevel="0" collapsed="false">
      <c r="A28" s="10"/>
      <c r="B28" s="11"/>
      <c r="C28" s="11"/>
      <c r="D28" s="11"/>
      <c r="E28" s="7"/>
    </row>
    <row r="29" customFormat="false" ht="15" hidden="false" customHeight="false" outlineLevel="0" collapsed="false">
      <c r="A29" s="12" t="s">
        <v>15</v>
      </c>
      <c r="B29" s="13" t="n">
        <f aca="false">SUM(B14:B28)</f>
        <v>6880</v>
      </c>
      <c r="C29" s="13" t="n">
        <f aca="false">SUM(C14:C28)</f>
        <v>5690</v>
      </c>
      <c r="D29" s="13" t="n">
        <f aca="false">SUM(D14:D28)</f>
        <v>7230</v>
      </c>
      <c r="E29" s="7"/>
    </row>
    <row r="30" customFormat="false" ht="15" hidden="false" customHeight="false" outlineLevel="0" collapsed="false">
      <c r="A30" s="5" t="s">
        <v>16</v>
      </c>
      <c r="B30" s="14" t="n">
        <v>0.1</v>
      </c>
      <c r="C30" s="14" t="n">
        <v>0.1</v>
      </c>
      <c r="D30" s="14" t="n">
        <v>0.1</v>
      </c>
      <c r="E30" s="7"/>
    </row>
    <row r="31" customFormat="false" ht="15" hidden="false" customHeight="false" outlineLevel="0" collapsed="false">
      <c r="A31" s="5" t="s">
        <v>17</v>
      </c>
      <c r="B31" s="15" t="n">
        <f aca="false">B29*B30</f>
        <v>688</v>
      </c>
      <c r="C31" s="15" t="n">
        <f aca="false">C29*C30</f>
        <v>569</v>
      </c>
      <c r="D31" s="15" t="n">
        <f aca="false">D29*D30</f>
        <v>723</v>
      </c>
      <c r="E31" s="7"/>
    </row>
    <row r="32" customFormat="false" ht="15" hidden="false" customHeight="false" outlineLevel="0" collapsed="false">
      <c r="A32" s="12" t="s">
        <v>18</v>
      </c>
      <c r="B32" s="13" t="n">
        <f aca="false">B29+B31</f>
        <v>7568</v>
      </c>
      <c r="C32" s="13" t="n">
        <f aca="false">C29+C31</f>
        <v>6259</v>
      </c>
      <c r="D32" s="13" t="n">
        <f aca="false">D29+D31</f>
        <v>7953</v>
      </c>
      <c r="E32" s="7"/>
    </row>
    <row r="33" customFormat="false" ht="15" hidden="false" customHeight="false" outlineLevel="0" collapsed="false">
      <c r="A33" s="5" t="s">
        <v>19</v>
      </c>
      <c r="B33" s="15" t="n">
        <f aca="false">IF(B29=0,"",B32-_xlfn.MINIFS($B$32:$D$32,$B$29:$D$29,"&gt;0"))</f>
        <v>1309</v>
      </c>
      <c r="C33" s="15" t="n">
        <f aca="false">IF(C29=0,"",C32-_xlfn.MINIFS($B$32:$D$32,$B$29:$D$29,"&gt;0"))</f>
        <v>0</v>
      </c>
      <c r="D33" s="15" t="n">
        <f aca="false">IF(D29=0,"",D32-_xlfn.MINIFS($B$32:$D$32,$B$29:$D$29,"&gt;0"))</f>
        <v>1694</v>
      </c>
      <c r="E33" s="7"/>
    </row>
    <row r="34" customFormat="false" ht="15" hidden="false" customHeight="false" outlineLevel="0" collapsed="false">
      <c r="A34" s="5" t="s">
        <v>20</v>
      </c>
      <c r="B34" s="16" t="n">
        <f aca="false">SUMPRODUCT(($A$14:$A$28&lt;&gt;"")*(B14:B28=""))</f>
        <v>1</v>
      </c>
      <c r="C34" s="16" t="n">
        <f aca="false">SUMPRODUCT(($A$14:$A$28&lt;&gt;"")*(C14:C28=""))</f>
        <v>1</v>
      </c>
      <c r="D34" s="16" t="n">
        <f aca="false">SUMPRODUCT(($A$14:$A$28&lt;&gt;"")*(D14:D28=""))</f>
        <v>0</v>
      </c>
      <c r="E34" s="7"/>
    </row>
    <row r="36" customFormat="false" ht="15" hidden="false" customHeight="false" outlineLevel="0" collapsed="false">
      <c r="A36" s="3" t="s">
        <v>21</v>
      </c>
      <c r="B36" s="9"/>
      <c r="C36" s="9"/>
      <c r="D36" s="9"/>
      <c r="E36" s="9"/>
    </row>
    <row r="37" customFormat="false" ht="15" hidden="false" customHeight="false" outlineLevel="0" collapsed="false">
      <c r="A37" s="5" t="s">
        <v>22</v>
      </c>
      <c r="B37" s="14" t="n">
        <v>0.5</v>
      </c>
      <c r="C37" s="14" t="n">
        <v>0.3</v>
      </c>
      <c r="D37" s="14" t="n">
        <v>0.3</v>
      </c>
      <c r="E37" s="7"/>
    </row>
    <row r="38" customFormat="false" ht="15" hidden="false" customHeight="false" outlineLevel="0" collapsed="false">
      <c r="A38" s="5" t="s">
        <v>23</v>
      </c>
      <c r="B38" s="15" t="n">
        <f aca="false">B32*B37</f>
        <v>3784</v>
      </c>
      <c r="C38" s="15" t="n">
        <f aca="false">C32*C37</f>
        <v>1877.7</v>
      </c>
      <c r="D38" s="15" t="n">
        <f aca="false">D32*D37</f>
        <v>2385.9</v>
      </c>
      <c r="E38" s="7"/>
    </row>
    <row r="39" customFormat="false" ht="15" hidden="false" customHeight="false" outlineLevel="0" collapsed="false">
      <c r="A39" s="5" t="s">
        <v>24</v>
      </c>
      <c r="B39" s="6" t="s">
        <v>40</v>
      </c>
      <c r="C39" s="6" t="s">
        <v>39</v>
      </c>
      <c r="D39" s="6" t="s">
        <v>39</v>
      </c>
      <c r="E39" s="7"/>
    </row>
    <row r="40" customFormat="false" ht="15" hidden="false" customHeight="false" outlineLevel="0" collapsed="false">
      <c r="A40" s="5" t="s">
        <v>25</v>
      </c>
      <c r="B40" s="8"/>
      <c r="C40" s="8"/>
      <c r="D40" s="8"/>
      <c r="E40" s="7"/>
    </row>
    <row r="41" customFormat="false" ht="15" hidden="false" customHeight="false" outlineLevel="0" collapsed="false">
      <c r="A41" s="5" t="s">
        <v>26</v>
      </c>
      <c r="B41" s="6" t="s">
        <v>40</v>
      </c>
      <c r="C41" s="6" t="s">
        <v>39</v>
      </c>
      <c r="D41" s="6" t="s">
        <v>39</v>
      </c>
      <c r="E41" s="7"/>
    </row>
    <row r="42" customFormat="false" ht="15" hidden="false" customHeight="false" outlineLevel="0" collapsed="false">
      <c r="A42" s="5" t="s">
        <v>27</v>
      </c>
      <c r="B42" s="6" t="s">
        <v>40</v>
      </c>
      <c r="C42" s="6" t="s">
        <v>39</v>
      </c>
      <c r="D42" s="6" t="s">
        <v>39</v>
      </c>
      <c r="E42" s="7"/>
    </row>
    <row r="43" customFormat="false" ht="26.85" hidden="false" customHeight="false" outlineLevel="0" collapsed="false">
      <c r="A43" s="5" t="s">
        <v>28</v>
      </c>
      <c r="B43" s="6" t="s">
        <v>39</v>
      </c>
      <c r="C43" s="6" t="s">
        <v>40</v>
      </c>
      <c r="D43" s="6" t="s">
        <v>39</v>
      </c>
      <c r="E43" s="7"/>
    </row>
    <row r="45" customFormat="false" ht="15" hidden="false" customHeight="false" outlineLevel="0" collapsed="false">
      <c r="A45" s="3" t="s">
        <v>29</v>
      </c>
      <c r="B45" s="9"/>
      <c r="C45" s="9"/>
      <c r="D45" s="9"/>
      <c r="E45" s="9"/>
    </row>
    <row r="46" customFormat="false" ht="39.55" hidden="false" customHeight="false" outlineLevel="0" collapsed="false">
      <c r="A46" s="17" t="s">
        <v>49</v>
      </c>
      <c r="B46" s="18" t="s">
        <v>50</v>
      </c>
      <c r="C46" s="18" t="s">
        <v>51</v>
      </c>
      <c r="D46" s="18" t="s">
        <v>52</v>
      </c>
      <c r="E46" s="7"/>
    </row>
    <row r="47" customFormat="false" ht="15" hidden="false" customHeight="false" outlineLevel="0" collapsed="false">
      <c r="A47" s="17"/>
      <c r="B47" s="18"/>
      <c r="C47" s="18"/>
      <c r="D47" s="18"/>
      <c r="E47" s="7"/>
    </row>
    <row r="48" customFormat="false" ht="15" hidden="false" customHeight="false" outlineLevel="0" collapsed="false">
      <c r="A48" s="17"/>
      <c r="B48" s="18"/>
      <c r="C48" s="18"/>
      <c r="D48" s="18"/>
      <c r="E48" s="7"/>
    </row>
    <row r="50" customFormat="false" ht="15" hidden="false" customHeight="false" outlineLevel="0" collapsed="false">
      <c r="A50" s="2" t="s">
        <v>30</v>
      </c>
    </row>
    <row r="51" customFormat="false" ht="15" hidden="false" customHeight="false" outlineLevel="0" collapsed="false">
      <c r="A51" s="19" t="s">
        <v>31</v>
      </c>
    </row>
  </sheetData>
  <conditionalFormatting sqref="B14:D28">
    <cfRule type="expression" priority="2" aboveAverage="0" equalAverage="0" bottom="0" percent="0" rank="0" text="" dxfId="0">
      <formula>AND($A14&lt;&gt;"",B14="")</formula>
    </cfRule>
  </conditionalFormatting>
  <conditionalFormatting sqref="B6:D43">
    <cfRule type="cellIs" priority="3" operator="equal" aboveAverage="0" equalAverage="0" bottom="0" percent="0" rank="0" text="" dxfId="1">
      <formula>"Non"</formula>
    </cfRule>
  </conditionalFormatting>
  <conditionalFormatting sqref="B37:D37">
    <cfRule type="cellIs" priority="4" operator="greaterThan" aboveAverage="0" equalAverage="0" bottom="0" percent="0" rank="0" text="" dxfId="0">
      <formula>0.3</formula>
    </cfRule>
  </conditionalFormatting>
  <dataValidations count="1">
    <dataValidation allowBlank="true" errorStyle="stop" operator="between" showDropDown="false" showErrorMessage="false" showInputMessage="false" sqref="B9:D11 B39:D39 B41:D43" type="list">
      <formula1>"Oui,Non,Sans objet"</formula1>
      <formula2>0</formula2>
    </dataValidation>
  </dataValidations>
  <hyperlinks>
    <hyperlink ref="A51" r:id="rId1" display="Un avis d'ingénieur BTP sur vos devis : contre-plan.com (option « Comparatif multi devis »).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6.15" hidden="false" customHeight="false" outlineLevel="0" collapsed="false">
      <c r="A1" s="20" t="s">
        <v>53</v>
      </c>
    </row>
    <row r="3" customFormat="false" ht="15" hidden="false" customHeight="false" outlineLevel="0" collapsed="false">
      <c r="A3" s="21" t="s">
        <v>54</v>
      </c>
    </row>
    <row r="5" customFormat="false" ht="15" hidden="false" customHeight="false" outlineLevel="0" collapsed="false">
      <c r="A5" s="21" t="s">
        <v>55</v>
      </c>
    </row>
    <row r="7" customFormat="false" ht="15" hidden="false" customHeight="false" outlineLevel="0" collapsed="false">
      <c r="A7" s="21" t="s">
        <v>56</v>
      </c>
    </row>
    <row r="9" customFormat="false" ht="15" hidden="false" customHeight="false" outlineLevel="0" collapsed="false">
      <c r="A9" s="21" t="s">
        <v>57</v>
      </c>
    </row>
    <row r="11" customFormat="false" ht="15" hidden="false" customHeight="false" outlineLevel="0" collapsed="false">
      <c r="A11" s="21" t="s">
        <v>58</v>
      </c>
    </row>
    <row r="13" customFormat="false" ht="15" hidden="false" customHeight="false" outlineLevel="0" collapsed="false">
      <c r="A13" s="21" t="s">
        <v>59</v>
      </c>
    </row>
    <row r="15" customFormat="false" ht="15" hidden="false" customHeight="false" outlineLevel="0" collapsed="false">
      <c r="A15" s="21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2026-10-23T10:24:31Z</dcterms:created>
  <dc:creator>openpyxl</dc:creator>
  <dc:description/>
  <dc:language>en-US</dc:language>
  <cp:lastModifiedBy/>
  <dcterms:modified xsi:type="dcterms:W3CDTF">2026-10-23T10:24:31Z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